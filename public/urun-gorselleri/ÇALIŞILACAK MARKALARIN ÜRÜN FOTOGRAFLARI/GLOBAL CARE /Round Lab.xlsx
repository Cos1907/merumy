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7"/>
  <workbookPr/>
  <mc:AlternateContent xmlns:mc="http://schemas.openxmlformats.org/markup-compatibility/2006">
    <mc:Choice Requires="x15">
      <x15ac:absPath xmlns:x15ac="http://schemas.microsoft.com/office/spreadsheetml/2010/11/ac" url="/Users/ahmetdeniz/Desktop/"/>
    </mc:Choice>
  </mc:AlternateContent>
  <xr:revisionPtr revIDLastSave="0" documentId="13_ncr:1_{4666292D-FA64-B944-B61A-2730E95DD306}" xr6:coauthVersionLast="47" xr6:coauthVersionMax="47" xr10:uidLastSave="{00000000-0000-0000-0000-000000000000}"/>
  <bookViews>
    <workbookView xWindow="-37300" yWindow="500" windowWidth="29040" windowHeight="15720" xr2:uid="{08E4C632-F26A-415F-81B4-68E63437A67A}"/>
  </bookViews>
  <sheets>
    <sheet name="Round Lab_PO" sheetId="2" r:id="rId1"/>
  </sheets>
  <definedNames>
    <definedName name="_xlnm._FilterDatabase" localSheetId="0" hidden="1">'Round Lab_PO'!$B$6:$G$6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" i="2" l="1"/>
  <c r="G9" i="2"/>
  <c r="G10" i="2"/>
  <c r="G11" i="2"/>
  <c r="G12" i="2"/>
  <c r="G14" i="2"/>
  <c r="G15" i="2"/>
  <c r="G16" i="2"/>
  <c r="G17" i="2"/>
  <c r="G18" i="2"/>
  <c r="G21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7" i="2" l="1"/>
</calcChain>
</file>

<file path=xl/sharedStrings.xml><?xml version="1.0" encoding="utf-8"?>
<sst xmlns="http://schemas.openxmlformats.org/spreadsheetml/2006/main" count="106" uniqueCount="106">
  <si>
    <t>BARCODE</t>
    <phoneticPr fontId="1" type="noConversion"/>
  </si>
  <si>
    <t>PRODUCT NAME</t>
    <phoneticPr fontId="1" type="noConversion"/>
  </si>
  <si>
    <t>No.</t>
    <phoneticPr fontId="1" type="noConversion"/>
  </si>
  <si>
    <t>Quantity
 /carton</t>
    <phoneticPr fontId="1" type="noConversion"/>
  </si>
  <si>
    <t>PRICE(VAT-)</t>
    <phoneticPr fontId="1" type="noConversion"/>
  </si>
  <si>
    <t>Total Price</t>
    <phoneticPr fontId="1" type="noConversion"/>
  </si>
  <si>
    <t>1025 DOKDO TONER_100ml</t>
  </si>
  <si>
    <t>1025 DOKDO TONER_200ml</t>
  </si>
  <si>
    <t>1025 DOKDO TONER_500ml</t>
  </si>
  <si>
    <t>1025 DOKDO LOTION_200ml</t>
  </si>
  <si>
    <t>1025 DOKDO CREAM_80ml</t>
  </si>
  <si>
    <t xml:space="preserve">1025 DOKDO CLEANSER_150ml  </t>
  </si>
  <si>
    <t>1025 DOKDO CLEANSING OIL_200ml</t>
  </si>
  <si>
    <t>1025 DOKDO SLEEPING PACK_100ml</t>
  </si>
  <si>
    <t>1025 DOKDO AMPULE_45g</t>
  </si>
  <si>
    <t>1025 DOKDO MUD PACK_100ml (Tube Type)</t>
  </si>
  <si>
    <t>1025 DOKDO HYDRATING WATER GEL MASK_30ml (10ea)</t>
  </si>
  <si>
    <t>1025 DOKDO LIGHT CREAM_80ml</t>
  </si>
  <si>
    <t>1025 DOKDO CLEANSING BALM_100ml</t>
  </si>
  <si>
    <t>1025 DOKDO CLEANSING MILK_200ml</t>
  </si>
  <si>
    <t>1025 DOKDO BUBBLE FOAM_150ml</t>
  </si>
  <si>
    <t>1025 DOKDO PAD_70pcs</t>
  </si>
  <si>
    <t>1025 DOKDO EYE CREAM_30ml</t>
  </si>
  <si>
    <t>1025 DOKDO PEELING GEL_120ml</t>
  </si>
  <si>
    <t>1025 DOKDO SUNSCREEN_50ml</t>
  </si>
  <si>
    <t>1025 DOKDO CLEANSING GEL_150ml</t>
  </si>
  <si>
    <t>1025 DOKDO CLEANSING WATER_400ml</t>
  </si>
  <si>
    <t>1025 DOKDO TONER LOTION SPECIAL SET (Toner_200ml + Lotion_200ml)</t>
  </si>
  <si>
    <t>1025 DOKDO TRIAL KIT (Cleanser 30ml + Toner 20ml + Ampule 10ml + Cream 20ml)</t>
  </si>
  <si>
    <t>1025 DOKDO CLEANSING TISSUE_30ea</t>
  </si>
  <si>
    <t>BIRCH JUICE MOISTURIZING TONER_300ml</t>
  </si>
  <si>
    <t>BIRCH JUICE MOISTURIZING CREAM_80ml</t>
  </si>
  <si>
    <t>BIRCH JUICE MOISTURIZING CLEANSER_150ml</t>
  </si>
  <si>
    <t>BIRCH JUICE MOISTURIZING WASHOFF PACK_80ml</t>
  </si>
  <si>
    <t>BIRCH JUICE MOISTURIZING SERUM_50ml</t>
  </si>
  <si>
    <t>BIRCH JUICE MOISTURIZING PAD_80pcs</t>
  </si>
  <si>
    <t>BIRCH JUICE MOISTURIZING SUNSCREEN_50ml</t>
  </si>
  <si>
    <t>BIRCH JUICE MOISTURIZING MASK_25ml (10ea)</t>
  </si>
  <si>
    <t>BIRCH JUICE MOISTURIZING SOOTHING GEL_150ml</t>
  </si>
  <si>
    <t>BIRCH JUICE MOISTURIZING TONE UP SUNSCREEN_50ml</t>
  </si>
  <si>
    <t>BIRCH JUICE MILD-UP SUNSCREEN_50ml</t>
  </si>
  <si>
    <t xml:space="preserve">BIRCH JUICE MOISTURIZING SUN STICK_19g </t>
  </si>
  <si>
    <t xml:space="preserve">BIRCH JUICE MOISTURIZING SUN CUSHION_15g </t>
  </si>
  <si>
    <t>BIRCH JUICE AMPOULE_50ml</t>
  </si>
  <si>
    <t>BIRCH JUICE CLEANSING PAD_60ea</t>
  </si>
  <si>
    <t>BIRCH JUICE HAND CREAM 30ml</t>
  </si>
  <si>
    <t>BIRCH JUICE TRIAL KIT (Cleanser 30ml + Toner 20ml + Ampoule 10ml + Cream 20ml)</t>
  </si>
  <si>
    <t>MUGWORT CALMING TONER_300ml</t>
  </si>
  <si>
    <t>MUGWORT CALMING CREAM_80ml</t>
  </si>
  <si>
    <t>MUGWORT CALMING CLEANSER_150ml</t>
  </si>
  <si>
    <t>MUGWORT CALMING SERUM_50ml</t>
  </si>
  <si>
    <t>MUGWORT CALMING SOOTHING GEL_150ml</t>
  </si>
  <si>
    <t>MUGWORT CALMING MASK_25ml (10ea)</t>
  </si>
  <si>
    <t>SOYBEAN SERUM_50ml</t>
  </si>
  <si>
    <t>SOYBEAN NOURISHING MASK_27ml (10ea)</t>
  </si>
  <si>
    <t>SOYBEAN NOURISHING TONER_300ml</t>
  </si>
  <si>
    <t>SOYBEAN NOURISHING CREAM_80ml</t>
  </si>
  <si>
    <t>SOYBEAN CLEANSER_150ml</t>
  </si>
  <si>
    <t>SOYBEAN CLEANSING OIL_200ml</t>
  </si>
  <si>
    <t>SOYBEAN PANTHENOL TONER_250ml</t>
  </si>
  <si>
    <t>SOYBEAN PANTHENOL AMPOULE_50ml</t>
  </si>
  <si>
    <t>SOYBEAN PANTHENOL CREAM_80ml</t>
  </si>
  <si>
    <t>SOYBEAN PANTHENOL MASK_25ml (10ea)</t>
  </si>
  <si>
    <t>SOYBEAN PANTHENOL CLEANSER_150ml</t>
  </si>
  <si>
    <t>SOYBEAN PANTHENOL CLEANSING OIL_200ml</t>
  </si>
  <si>
    <t>PINE CALMING CICA CREAM_50ml</t>
  </si>
  <si>
    <t>PINE CALMING CICA AMPOULE_30ml</t>
  </si>
  <si>
    <t>PINE CALMING CICA PAD_50pcs</t>
  </si>
  <si>
    <t>PINE CALMING CICA MASK_27ml (10ea)</t>
  </si>
  <si>
    <t>PINE CALMING CICA TONER_250ml</t>
  </si>
  <si>
    <t>PINE CALMING CICA LOTION_250ml</t>
  </si>
  <si>
    <t>PINE CALMING CICA CLEANSER_150ml</t>
  </si>
  <si>
    <t>PINE CALMING CICA BODY WASH_400ml</t>
  </si>
  <si>
    <t>PINE CALMING CICA TRIAL KIT (Cleanser 30ml + Toner 20ml + Ampoule 10ml + Cream 20ml)</t>
  </si>
  <si>
    <t>PINE CALMING CICA CREAM PLUS_60ml</t>
  </si>
  <si>
    <t>ROUND LAB VITA NIACINAMIDE DARK SPOT SERUM 30ml</t>
  </si>
  <si>
    <t>ROUND LAB VITA NIACINAMIDE DARK SPOT CREAM 50ml</t>
  </si>
  <si>
    <t>ROUND LAB VITA NIACINAMIDE DARK SPOT SERUM MASK 20ml (10ea)</t>
  </si>
  <si>
    <t>ROUND LAB BABY MILD TOP TO TOE WASH 300ml</t>
  </si>
  <si>
    <t>ROUND LAB BABY MILD LOTION 300ml</t>
  </si>
  <si>
    <t>ROUND LAB BABY MILD WET WIPES 20ea</t>
  </si>
  <si>
    <t>ROUND LAB BABY MILD WET WIPES 70ea</t>
  </si>
  <si>
    <t>ROUND LAB BABY MILD SUNSCREEN_60ml</t>
  </si>
  <si>
    <t>ROUND LAB BABY MILD SOOTHING GEL_150ml</t>
  </si>
  <si>
    <t>ROUND LAB CAMELLIA DEEP COLLAGEN FIRMING GEL MASK_34g (4ea)</t>
  </si>
  <si>
    <t>ROUND LAB CAMELLIA DEEP COLLAGEN FIRMING AMPOULE_30ml</t>
  </si>
  <si>
    <t>ROUND LAB CAMELLIA DEEP COLLAGEN FIRMING CREAM_50ml</t>
  </si>
  <si>
    <t>ROUND LAB CAMELLIA DEEP COLLAGEN FIRMING SUN SERUM_50ml</t>
  </si>
  <si>
    <t>FOR MEN BIRCH JUICE MOISTURIZING TONER_200ml</t>
  </si>
  <si>
    <t>FOR MEN BIRCH JUICE MOISTURIZING LOTION_200ml</t>
  </si>
  <si>
    <t>FOR MEN BIRCH JUICE MOISTURIZING CREAM_75ml</t>
  </si>
  <si>
    <t>FOR MEN PINE CALMING CICA TONER_200ml</t>
  </si>
  <si>
    <t>FOR MEN PINE CALMING CICA LOTION_200ml</t>
  </si>
  <si>
    <t>FOR MEN PINE CALMING CICA CREAM_75ml</t>
  </si>
  <si>
    <t>ROUND LAB STICK POUCH KIT</t>
  </si>
  <si>
    <t>SUM</t>
    <phoneticPr fontId="1" type="noConversion"/>
  </si>
  <si>
    <t>1025 DOKDO CLEANSING BALM_50ml (NEW)</t>
  </si>
  <si>
    <t>ROUND LAB BIRCH JUICE MOISTURIZING DOUBLE GEL MASK 23ml(10ea)</t>
  </si>
  <si>
    <t>ROUND LAB BIRCH JUICE MOISTURIZING LIP BALM</t>
  </si>
  <si>
    <t>ROUND LAB BIRCH JUICE MOISTURIZING LIP BALM SET(+BRUSH)</t>
  </si>
  <si>
    <t>ROUND LAB PINE CALMING CICA SUNSCREEN 40ml</t>
  </si>
  <si>
    <t>ROUND LAB BABY MILD SUN STICK 21g</t>
  </si>
  <si>
    <t>ROUND LAB BABY MILD SUN CUSHION 16g</t>
  </si>
  <si>
    <t>ROUND LAB BABY MILD CREAM 200ml</t>
  </si>
  <si>
    <t>ROUND LAB CAMELLIA DEEP COLLAGEN JELLY MASK CLEANSER 150ml</t>
  </si>
  <si>
    <t>Round Lab Order Form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</si>
</sst>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₺&quot;* #,##0.00_-;\-&quot;₺&quot;* #,##0.00_-;_-&quot;₺&quot;* &quot;-&quot;??_-;_-@_-"/>
    <numFmt numFmtId="164" formatCode="_-&quot;₩&quot;* #,##0_-;\-&quot;₩&quot;* #,##0_-;_-&quot;₩&quot;* &quot;-&quot;_-;_-@_-"/>
    <numFmt numFmtId="165" formatCode="0_);[Red]\(0\)"/>
    <numFmt numFmtId="166" formatCode="_-[$$-409]* #,##0.00_ ;_-[$$-409]* \-#,##0.00\ ;_-[$$-409]* &quot;-&quot;??_ ;_-@_ "/>
  </numFmts>
  <fonts count="13">
    <font>
      <sz val="11"/>
      <color theme="1"/>
      <name val="Aptos Narrow"/>
      <family val="2"/>
      <charset val="129"/>
      <scheme val="minor"/>
    </font>
    <font>
      <sz val="8"/>
      <name val="Aptos Narrow"/>
      <family val="2"/>
      <charset val="129"/>
      <scheme val="minor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name val="Arial"/>
      <family val="2"/>
    </font>
    <font>
      <sz val="10"/>
      <color theme="1"/>
      <name val="Noto Sans KR"/>
      <family val="2"/>
    </font>
    <font>
      <sz val="8"/>
      <name val="Aptos Narrow"/>
      <family val="3"/>
      <charset val="129"/>
      <scheme val="minor"/>
    </font>
    <font>
      <b/>
      <sz val="20"/>
      <color theme="1"/>
      <name val="Aptos Narrow"/>
      <family val="3"/>
      <charset val="129"/>
      <scheme val="minor"/>
    </font>
    <font>
      <b/>
      <sz val="11"/>
      <color rgb="FFFF0000"/>
      <name val="Aptos Narrow"/>
      <family val="3"/>
      <charset val="129"/>
      <scheme val="minor"/>
    </font>
    <font>
      <b/>
      <sz val="14"/>
      <color theme="1"/>
      <name val="Aptos Narrow"/>
      <family val="3"/>
      <charset val="129"/>
      <scheme val="minor"/>
    </font>
    <font>
      <b/>
      <sz val="10"/>
      <color theme="1"/>
      <name val="Arial"/>
      <family val="2"/>
    </font>
    <font>
      <sz val="11"/>
      <name val="Aptos Narrow"/>
      <family val="2"/>
      <charset val="129"/>
      <scheme val="minor"/>
    </font>
    <font>
      <sz val="11"/>
      <color theme="1"/>
      <name val="Aptos Narrow"/>
      <family val="2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164" fontId="12" fillId="0" borderId="0" applyFont="0" applyFill="0" applyBorder="0" applyAlignment="0" applyProtection="0">
      <alignment vertical="center"/>
    </xf>
    <xf numFmtId="44" fontId="12" fillId="0" borderId="0" applyFont="0" applyFill="0" applyBorder="0" applyAlignment="0" applyProtection="0"/>
  </cellStyleXfs>
  <cellXfs count="29">
    <xf numFmtId="0" fontId="0" fillId="0" borderId="0" xfId="0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0" fontId="4" fillId="2" borderId="1" xfId="0" applyFont="1" applyFill="1" applyBorder="1" applyAlignment="1">
      <alignment vertical="center" wrapText="1"/>
    </xf>
    <xf numFmtId="0" fontId="5" fillId="3" borderId="1" xfId="0" applyFont="1" applyFill="1" applyBorder="1" applyAlignment="1">
      <alignment vertical="center" wrapText="1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>
      <alignment vertical="center"/>
    </xf>
    <xf numFmtId="0" fontId="9" fillId="4" borderId="3" xfId="0" applyFont="1" applyFill="1" applyBorder="1" applyAlignment="1">
      <alignment horizontal="center" vertical="center"/>
    </xf>
    <xf numFmtId="165" fontId="2" fillId="0" borderId="1" xfId="0" applyNumberFormat="1" applyFont="1" applyBorder="1">
      <alignment vertical="center"/>
    </xf>
    <xf numFmtId="165" fontId="4" fillId="0" borderId="1" xfId="0" applyNumberFormat="1" applyFont="1" applyBorder="1">
      <alignment vertical="center"/>
    </xf>
    <xf numFmtId="165" fontId="3" fillId="0" borderId="1" xfId="0" applyNumberFormat="1" applyFont="1" applyBorder="1">
      <alignment vertical="center"/>
    </xf>
    <xf numFmtId="0" fontId="10" fillId="4" borderId="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 wrapText="1"/>
    </xf>
    <xf numFmtId="166" fontId="0" fillId="0" borderId="2" xfId="0" applyNumberFormat="1" applyBorder="1">
      <alignment vertical="center"/>
    </xf>
    <xf numFmtId="0" fontId="11" fillId="5" borderId="1" xfId="0" applyFont="1" applyFill="1" applyBorder="1" applyAlignment="1">
      <alignment horizontal="center" vertical="center"/>
    </xf>
    <xf numFmtId="165" fontId="4" fillId="5" borderId="1" xfId="0" applyNumberFormat="1" applyFont="1" applyFill="1" applyBorder="1">
      <alignment vertical="center"/>
    </xf>
    <xf numFmtId="0" fontId="4" fillId="5" borderId="1" xfId="0" applyFont="1" applyFill="1" applyBorder="1">
      <alignment vertical="center"/>
    </xf>
    <xf numFmtId="0" fontId="11" fillId="5" borderId="1" xfId="0" applyFont="1" applyFill="1" applyBorder="1">
      <alignment vertical="center"/>
    </xf>
    <xf numFmtId="166" fontId="11" fillId="5" borderId="1" xfId="0" applyNumberFormat="1" applyFont="1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166" fontId="0" fillId="5" borderId="1" xfId="1" applyNumberFormat="1" applyFont="1" applyFill="1" applyBorder="1">
      <alignment vertical="center"/>
    </xf>
    <xf numFmtId="166" fontId="0" fillId="5" borderId="1" xfId="0" applyNumberFormat="1" applyFill="1" applyBorder="1">
      <alignment vertical="center"/>
    </xf>
    <xf numFmtId="0" fontId="7" fillId="4" borderId="0" xfId="0" applyFont="1" applyFill="1" applyAlignment="1">
      <alignment horizontal="center"/>
    </xf>
    <xf numFmtId="0" fontId="8" fillId="0" borderId="0" xfId="0" applyFont="1" applyAlignment="1">
      <alignment horizontal="left" vertical="center" wrapText="1"/>
    </xf>
    <xf numFmtId="44" fontId="10" fillId="4" borderId="1" xfId="2" applyFont="1" applyFill="1" applyBorder="1" applyAlignment="1">
      <alignment horizontal="center" vertical="center"/>
    </xf>
    <xf numFmtId="44" fontId="0" fillId="0" borderId="1" xfId="2" applyFont="1" applyBorder="1" applyAlignment="1">
      <alignment vertical="center"/>
    </xf>
    <xf numFmtId="44" fontId="9" fillId="0" borderId="4" xfId="2" applyFont="1" applyBorder="1" applyAlignment="1">
      <alignment vertical="center"/>
    </xf>
    <xf numFmtId="44" fontId="0" fillId="0" borderId="0" xfId="2" applyFont="1" applyAlignment="1">
      <alignment vertical="center"/>
    </xf>
  </cellXfs>
  <cellStyles count="3">
    <cellStyle name="Normal" xfId="0" builtinId="0"/>
    <cellStyle name="ParaBirimi" xfId="2" builtinId="4"/>
    <cellStyle name="ParaBirimi [0]" xfId="1" builtinId="7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D60AC6-40ED-4826-9F70-2EAA75B8958B}">
  <dimension ref="B2:G105"/>
  <sheetViews>
    <sheetView tabSelected="1" zoomScale="85" zoomScaleNormal="85" workbookViewId="0">
      <pane ySplit="6" topLeftCell="A7" activePane="bottomLeft" state="frozen"/>
      <selection pane="bottomLeft" activeCell="I16" sqref="I16"/>
    </sheetView>
  </sheetViews>
  <sheetFormatPr baseColWidth="10" defaultColWidth="18" defaultRowHeight="15"/>
  <cols>
    <col min="2" max="2" width="10" bestFit="1" customWidth="1"/>
    <col min="3" max="3" width="15.6640625" bestFit="1" customWidth="1"/>
    <col min="4" max="4" width="79" bestFit="1" customWidth="1"/>
    <col min="5" max="5" width="14.33203125" bestFit="1" customWidth="1"/>
    <col min="6" max="6" width="17.6640625" hidden="1" customWidth="1"/>
    <col min="7" max="7" width="16.5" style="28" bestFit="1" customWidth="1"/>
  </cols>
  <sheetData>
    <row r="2" spans="2:7" ht="27">
      <c r="B2" s="23" t="s">
        <v>105</v>
      </c>
      <c r="C2" s="23"/>
      <c r="D2" s="23"/>
      <c r="E2" s="23"/>
      <c r="F2" s="23"/>
      <c r="G2" s="23"/>
    </row>
    <row r="4" spans="2:7" ht="36" customHeight="1">
      <c r="B4" s="24"/>
      <c r="C4" s="24"/>
      <c r="D4" s="24"/>
      <c r="E4" s="24"/>
      <c r="F4" s="24"/>
      <c r="G4" s="24"/>
    </row>
    <row r="6" spans="2:7" ht="27" customHeight="1">
      <c r="B6" s="12" t="s">
        <v>2</v>
      </c>
      <c r="C6" s="12" t="s">
        <v>0</v>
      </c>
      <c r="D6" s="12" t="s">
        <v>1</v>
      </c>
      <c r="E6" s="13" t="s">
        <v>3</v>
      </c>
      <c r="F6" s="12" t="s">
        <v>4</v>
      </c>
      <c r="G6" s="25" t="s">
        <v>5</v>
      </c>
    </row>
    <row r="7" spans="2:7">
      <c r="B7" s="6">
        <v>1</v>
      </c>
      <c r="C7" s="9">
        <v>8809657115387</v>
      </c>
      <c r="D7" s="1" t="s">
        <v>6</v>
      </c>
      <c r="E7" s="5">
        <v>96</v>
      </c>
      <c r="F7" s="7">
        <v>3.0999999999999996</v>
      </c>
      <c r="G7" s="26">
        <f>F7*45*1.2*1.2*1.25*1.22</f>
        <v>306.34199999999987</v>
      </c>
    </row>
    <row r="8" spans="2:7">
      <c r="B8" s="6">
        <v>2</v>
      </c>
      <c r="C8" s="9">
        <v>8809657114731</v>
      </c>
      <c r="D8" s="1" t="s">
        <v>7</v>
      </c>
      <c r="E8" s="5">
        <v>30</v>
      </c>
      <c r="F8" s="7">
        <v>4.8099999999999996</v>
      </c>
      <c r="G8" s="26">
        <f t="shared" ref="G8:G71" si="0">F8*45*1.2*1.2*1.25*1.22</f>
        <v>475.32419999999985</v>
      </c>
    </row>
    <row r="9" spans="2:7">
      <c r="B9" s="6">
        <v>3</v>
      </c>
      <c r="C9" s="9">
        <v>8809657114748</v>
      </c>
      <c r="D9" s="1" t="s">
        <v>8</v>
      </c>
      <c r="E9" s="5">
        <v>30</v>
      </c>
      <c r="F9" s="7">
        <v>8.89</v>
      </c>
      <c r="G9" s="26">
        <f t="shared" si="0"/>
        <v>878.50980000000004</v>
      </c>
    </row>
    <row r="10" spans="2:7">
      <c r="B10" s="6">
        <v>4</v>
      </c>
      <c r="C10" s="10">
        <v>8809657114779</v>
      </c>
      <c r="D10" s="3" t="s">
        <v>9</v>
      </c>
      <c r="E10" s="5">
        <v>30</v>
      </c>
      <c r="F10" s="7">
        <v>6.12</v>
      </c>
      <c r="G10" s="26">
        <f t="shared" si="0"/>
        <v>604.77839999999992</v>
      </c>
    </row>
    <row r="11" spans="2:7">
      <c r="B11" s="6">
        <v>5</v>
      </c>
      <c r="C11" s="9">
        <v>8809738600245</v>
      </c>
      <c r="D11" s="1" t="s">
        <v>10</v>
      </c>
      <c r="E11" s="5">
        <v>80</v>
      </c>
      <c r="F11" s="7">
        <v>7.34</v>
      </c>
      <c r="G11" s="26">
        <f t="shared" si="0"/>
        <v>725.33879999999999</v>
      </c>
    </row>
    <row r="12" spans="2:7">
      <c r="B12" s="6">
        <v>6</v>
      </c>
      <c r="C12" s="9">
        <v>8809738608364</v>
      </c>
      <c r="D12" s="1" t="s">
        <v>11</v>
      </c>
      <c r="E12" s="5">
        <v>30</v>
      </c>
      <c r="F12" s="7">
        <v>4</v>
      </c>
      <c r="G12" s="26">
        <f t="shared" si="0"/>
        <v>395.28</v>
      </c>
    </row>
    <row r="13" spans="2:7">
      <c r="B13" s="6">
        <v>7</v>
      </c>
      <c r="C13" s="9">
        <v>8809738605677</v>
      </c>
      <c r="D13" s="1" t="s">
        <v>12</v>
      </c>
      <c r="E13" s="5">
        <v>30</v>
      </c>
      <c r="F13" s="7">
        <v>7.34</v>
      </c>
      <c r="G13" s="26">
        <v>610</v>
      </c>
    </row>
    <row r="14" spans="2:7">
      <c r="B14" s="6">
        <v>8</v>
      </c>
      <c r="C14" s="9">
        <v>8809657115639</v>
      </c>
      <c r="D14" s="1" t="s">
        <v>13</v>
      </c>
      <c r="E14" s="5">
        <v>50</v>
      </c>
      <c r="F14" s="7">
        <v>6.4399999999999995</v>
      </c>
      <c r="G14" s="26">
        <f t="shared" si="0"/>
        <v>636.40079999999978</v>
      </c>
    </row>
    <row r="15" spans="2:7">
      <c r="B15" s="6">
        <v>9</v>
      </c>
      <c r="C15" s="9">
        <v>8809657115479</v>
      </c>
      <c r="D15" s="1" t="s">
        <v>14</v>
      </c>
      <c r="E15" s="5">
        <v>100</v>
      </c>
      <c r="F15" s="7">
        <v>5.95</v>
      </c>
      <c r="G15" s="26">
        <f t="shared" si="0"/>
        <v>587.97899999999993</v>
      </c>
    </row>
    <row r="16" spans="2:7">
      <c r="B16" s="6">
        <v>10</v>
      </c>
      <c r="C16" s="9">
        <v>8809738604755</v>
      </c>
      <c r="D16" s="1" t="s">
        <v>15</v>
      </c>
      <c r="E16" s="5">
        <v>30</v>
      </c>
      <c r="F16" s="7">
        <v>4.8899999999999997</v>
      </c>
      <c r="G16" s="26">
        <f t="shared" si="0"/>
        <v>483.22979999999984</v>
      </c>
    </row>
    <row r="17" spans="2:7">
      <c r="B17" s="6">
        <v>11</v>
      </c>
      <c r="C17" s="9">
        <v>8809743540710</v>
      </c>
      <c r="D17" s="1" t="s">
        <v>16</v>
      </c>
      <c r="E17" s="5">
        <v>20</v>
      </c>
      <c r="F17" s="7">
        <v>5.87</v>
      </c>
      <c r="G17" s="26">
        <f t="shared" si="0"/>
        <v>580.07339999999988</v>
      </c>
    </row>
    <row r="18" spans="2:7">
      <c r="B18" s="6">
        <v>12</v>
      </c>
      <c r="C18" s="9">
        <v>8809738591154</v>
      </c>
      <c r="D18" s="2" t="s">
        <v>17</v>
      </c>
      <c r="E18" s="5">
        <v>30</v>
      </c>
      <c r="F18" s="7">
        <v>8.07</v>
      </c>
      <c r="G18" s="26">
        <f t="shared" si="0"/>
        <v>797.4774000000001</v>
      </c>
    </row>
    <row r="19" spans="2:7">
      <c r="B19" s="15">
        <v>13</v>
      </c>
      <c r="C19" s="16">
        <v>8809962542755</v>
      </c>
      <c r="D19" s="17" t="s">
        <v>96</v>
      </c>
      <c r="E19" s="18">
        <v>30</v>
      </c>
      <c r="F19" s="19">
        <v>7.83</v>
      </c>
      <c r="G19" s="26">
        <v>650.35</v>
      </c>
    </row>
    <row r="20" spans="2:7">
      <c r="B20" s="6">
        <v>13</v>
      </c>
      <c r="C20" s="9">
        <v>8809782555911</v>
      </c>
      <c r="D20" s="1" t="s">
        <v>18</v>
      </c>
      <c r="E20" s="5">
        <v>30</v>
      </c>
      <c r="F20" s="7">
        <v>7.83</v>
      </c>
      <c r="G20" s="26">
        <v>650.35</v>
      </c>
    </row>
    <row r="21" spans="2:7">
      <c r="B21" s="6">
        <v>14</v>
      </c>
      <c r="C21" s="9">
        <v>8809743542684</v>
      </c>
      <c r="D21" s="1" t="s">
        <v>19</v>
      </c>
      <c r="E21" s="5">
        <v>30</v>
      </c>
      <c r="F21" s="7">
        <v>7.66</v>
      </c>
      <c r="G21" s="26">
        <f t="shared" si="0"/>
        <v>756.96119999999985</v>
      </c>
    </row>
    <row r="22" spans="2:7">
      <c r="B22" s="6">
        <v>15</v>
      </c>
      <c r="C22" s="9">
        <v>8809738599044</v>
      </c>
      <c r="D22" s="1" t="s">
        <v>20</v>
      </c>
      <c r="E22" s="5">
        <v>30</v>
      </c>
      <c r="F22" s="7">
        <v>4.6499999999999995</v>
      </c>
      <c r="G22" s="26">
        <v>390.48</v>
      </c>
    </row>
    <row r="23" spans="2:7">
      <c r="B23" s="6">
        <v>16</v>
      </c>
      <c r="C23" s="9">
        <v>8809657129247</v>
      </c>
      <c r="D23" s="1" t="s">
        <v>21</v>
      </c>
      <c r="E23" s="5">
        <v>40</v>
      </c>
      <c r="F23" s="7">
        <v>7.66</v>
      </c>
      <c r="G23" s="26">
        <f t="shared" si="0"/>
        <v>756.96119999999985</v>
      </c>
    </row>
    <row r="24" spans="2:7">
      <c r="B24" s="6">
        <v>17</v>
      </c>
      <c r="C24" s="9">
        <v>8809657114632</v>
      </c>
      <c r="D24" s="1" t="s">
        <v>22</v>
      </c>
      <c r="E24" s="5">
        <v>200</v>
      </c>
      <c r="F24" s="7">
        <v>5.71</v>
      </c>
      <c r="G24" s="26">
        <f t="shared" si="0"/>
        <v>564.26220000000001</v>
      </c>
    </row>
    <row r="25" spans="2:7">
      <c r="B25" s="6">
        <v>18</v>
      </c>
      <c r="C25" s="9">
        <v>8809783321966</v>
      </c>
      <c r="D25" s="1" t="s">
        <v>23</v>
      </c>
      <c r="E25" s="5">
        <v>50</v>
      </c>
      <c r="F25" s="7">
        <v>4.6499999999999995</v>
      </c>
      <c r="G25" s="26">
        <f t="shared" si="0"/>
        <v>459.51299999999992</v>
      </c>
    </row>
    <row r="26" spans="2:7">
      <c r="B26" s="6">
        <v>19</v>
      </c>
      <c r="C26" s="9">
        <v>8809782557298</v>
      </c>
      <c r="D26" s="1" t="s">
        <v>24</v>
      </c>
      <c r="E26" s="5">
        <v>50</v>
      </c>
      <c r="F26" s="7">
        <v>7.5</v>
      </c>
      <c r="G26" s="26">
        <f t="shared" si="0"/>
        <v>741.15</v>
      </c>
    </row>
    <row r="27" spans="2:7">
      <c r="B27" s="6">
        <v>20</v>
      </c>
      <c r="C27" s="9">
        <v>8809875901120</v>
      </c>
      <c r="D27" s="1" t="s">
        <v>25</v>
      </c>
      <c r="E27" s="5">
        <v>30</v>
      </c>
      <c r="F27" s="7">
        <v>4.4000000000000004</v>
      </c>
      <c r="G27" s="26">
        <f t="shared" si="0"/>
        <v>434.80799999999994</v>
      </c>
    </row>
    <row r="28" spans="2:7">
      <c r="B28" s="6">
        <v>21</v>
      </c>
      <c r="C28" s="9">
        <v>8809738607343</v>
      </c>
      <c r="D28" s="1" t="s">
        <v>26</v>
      </c>
      <c r="E28" s="5">
        <v>30</v>
      </c>
      <c r="F28" s="7">
        <v>3.57</v>
      </c>
      <c r="G28" s="26">
        <f t="shared" si="0"/>
        <v>352.78739999999993</v>
      </c>
    </row>
    <row r="29" spans="2:7">
      <c r="B29" s="6">
        <v>22</v>
      </c>
      <c r="C29" s="9">
        <v>8809657114243</v>
      </c>
      <c r="D29" s="1" t="s">
        <v>27</v>
      </c>
      <c r="E29" s="5">
        <v>30</v>
      </c>
      <c r="F29" s="7">
        <v>9.58</v>
      </c>
      <c r="G29" s="26">
        <f t="shared" si="0"/>
        <v>946.69560000000001</v>
      </c>
    </row>
    <row r="30" spans="2:7">
      <c r="B30" s="6">
        <v>23</v>
      </c>
      <c r="C30" s="9">
        <v>8809962540270</v>
      </c>
      <c r="D30" s="2" t="s">
        <v>28</v>
      </c>
      <c r="E30" s="5">
        <v>20</v>
      </c>
      <c r="F30" s="7">
        <v>4.45</v>
      </c>
      <c r="G30" s="26">
        <f t="shared" si="0"/>
        <v>439.74899999999991</v>
      </c>
    </row>
    <row r="31" spans="2:7">
      <c r="B31" s="6">
        <v>24</v>
      </c>
      <c r="C31" s="9">
        <v>8809962541253</v>
      </c>
      <c r="D31" s="1" t="s">
        <v>29</v>
      </c>
      <c r="E31" s="5">
        <v>60</v>
      </c>
      <c r="F31" s="7">
        <v>1.6300000000000001</v>
      </c>
      <c r="G31" s="26">
        <f t="shared" si="0"/>
        <v>161.07659999999998</v>
      </c>
    </row>
    <row r="32" spans="2:7">
      <c r="B32" s="6">
        <v>25</v>
      </c>
      <c r="C32" s="9">
        <v>8809738600214</v>
      </c>
      <c r="D32" s="1" t="s">
        <v>30</v>
      </c>
      <c r="E32" s="5">
        <v>40</v>
      </c>
      <c r="F32" s="7">
        <v>5.71</v>
      </c>
      <c r="G32" s="26">
        <f t="shared" si="0"/>
        <v>564.26220000000001</v>
      </c>
    </row>
    <row r="33" spans="2:7">
      <c r="B33" s="6">
        <v>26</v>
      </c>
      <c r="C33" s="9">
        <v>8809738600221</v>
      </c>
      <c r="D33" s="1" t="s">
        <v>31</v>
      </c>
      <c r="E33" s="5">
        <v>80</v>
      </c>
      <c r="F33" s="7">
        <v>7.66</v>
      </c>
      <c r="G33" s="26">
        <f t="shared" si="0"/>
        <v>756.96119999999985</v>
      </c>
    </row>
    <row r="34" spans="2:7">
      <c r="B34" s="6">
        <v>27</v>
      </c>
      <c r="C34" s="9">
        <v>8809738600238</v>
      </c>
      <c r="D34" s="1" t="s">
        <v>32</v>
      </c>
      <c r="E34" s="5">
        <v>30</v>
      </c>
      <c r="F34" s="7">
        <v>3.92</v>
      </c>
      <c r="G34" s="26">
        <f t="shared" si="0"/>
        <v>387.37439999999998</v>
      </c>
    </row>
    <row r="35" spans="2:7">
      <c r="B35" s="6">
        <v>28</v>
      </c>
      <c r="C35" s="9">
        <v>8809738604762</v>
      </c>
      <c r="D35" s="4" t="s">
        <v>33</v>
      </c>
      <c r="E35" s="5">
        <v>30</v>
      </c>
      <c r="F35" s="7">
        <v>5.63</v>
      </c>
      <c r="G35" s="26">
        <f t="shared" si="0"/>
        <v>556.35659999999996</v>
      </c>
    </row>
    <row r="36" spans="2:7">
      <c r="B36" s="6">
        <v>29</v>
      </c>
      <c r="C36" s="9">
        <v>8809782553009</v>
      </c>
      <c r="D36" s="1" t="s">
        <v>34</v>
      </c>
      <c r="E36" s="5">
        <v>70</v>
      </c>
      <c r="F36" s="7">
        <v>6.6</v>
      </c>
      <c r="G36" s="26">
        <f t="shared" si="0"/>
        <v>652.21199999999988</v>
      </c>
    </row>
    <row r="37" spans="2:7">
      <c r="B37" s="6">
        <v>30</v>
      </c>
      <c r="C37" s="9">
        <v>8809614958712</v>
      </c>
      <c r="D37" s="4" t="s">
        <v>35</v>
      </c>
      <c r="E37" s="5">
        <v>40</v>
      </c>
      <c r="F37" s="7">
        <v>6.6</v>
      </c>
      <c r="G37" s="26">
        <f t="shared" si="0"/>
        <v>652.21199999999988</v>
      </c>
    </row>
    <row r="38" spans="2:7">
      <c r="B38" s="6">
        <v>31</v>
      </c>
      <c r="C38" s="9">
        <v>8809782551814</v>
      </c>
      <c r="D38" s="1" t="s">
        <v>36</v>
      </c>
      <c r="E38" s="5">
        <v>60</v>
      </c>
      <c r="F38" s="7">
        <v>6.12</v>
      </c>
      <c r="G38" s="26">
        <f t="shared" si="0"/>
        <v>604.77839999999992</v>
      </c>
    </row>
    <row r="39" spans="2:7">
      <c r="B39" s="6">
        <v>32</v>
      </c>
      <c r="C39" s="9">
        <v>8809624723157</v>
      </c>
      <c r="D39" s="1" t="s">
        <v>37</v>
      </c>
      <c r="E39" s="5">
        <v>40</v>
      </c>
      <c r="F39" s="7">
        <v>5.63</v>
      </c>
      <c r="G39" s="26">
        <f t="shared" si="0"/>
        <v>556.35659999999996</v>
      </c>
    </row>
    <row r="40" spans="2:7">
      <c r="B40" s="6">
        <v>33</v>
      </c>
      <c r="C40" s="9">
        <v>8809638307701</v>
      </c>
      <c r="D40" s="1" t="s">
        <v>38</v>
      </c>
      <c r="E40" s="5">
        <v>40</v>
      </c>
      <c r="F40" s="7">
        <v>3.26</v>
      </c>
      <c r="G40" s="26">
        <f t="shared" si="0"/>
        <v>322.15319999999997</v>
      </c>
    </row>
    <row r="41" spans="2:7">
      <c r="B41" s="6">
        <v>34</v>
      </c>
      <c r="C41" s="9">
        <v>8809864769977</v>
      </c>
      <c r="D41" s="1" t="s">
        <v>39</v>
      </c>
      <c r="E41" s="5">
        <v>60</v>
      </c>
      <c r="F41" s="7">
        <v>6.12</v>
      </c>
      <c r="G41" s="26">
        <f t="shared" si="0"/>
        <v>604.77839999999992</v>
      </c>
    </row>
    <row r="42" spans="2:7">
      <c r="B42" s="6">
        <v>35</v>
      </c>
      <c r="C42" s="9">
        <v>8809782558523</v>
      </c>
      <c r="D42" s="1" t="s">
        <v>40</v>
      </c>
      <c r="E42" s="5">
        <v>60</v>
      </c>
      <c r="F42" s="7">
        <v>6.12</v>
      </c>
      <c r="G42" s="26">
        <f t="shared" si="0"/>
        <v>604.77839999999992</v>
      </c>
    </row>
    <row r="43" spans="2:7">
      <c r="B43" s="6">
        <v>36</v>
      </c>
      <c r="C43" s="9">
        <v>8809875904459</v>
      </c>
      <c r="D43" s="1" t="s">
        <v>41</v>
      </c>
      <c r="E43" s="5">
        <v>60</v>
      </c>
      <c r="F43" s="7">
        <v>5.38</v>
      </c>
      <c r="G43" s="26">
        <f t="shared" si="0"/>
        <v>531.65159999999992</v>
      </c>
    </row>
    <row r="44" spans="2:7">
      <c r="B44" s="6">
        <v>37</v>
      </c>
      <c r="C44" s="9">
        <v>8809782556628</v>
      </c>
      <c r="D44" s="1" t="s">
        <v>42</v>
      </c>
      <c r="E44" s="5">
        <v>100</v>
      </c>
      <c r="F44" s="7">
        <v>5.71</v>
      </c>
      <c r="G44" s="26">
        <f t="shared" si="0"/>
        <v>564.26220000000001</v>
      </c>
    </row>
    <row r="45" spans="2:7">
      <c r="B45" s="6">
        <v>38</v>
      </c>
      <c r="C45" s="9">
        <v>8809864759480</v>
      </c>
      <c r="D45" s="1" t="s">
        <v>43</v>
      </c>
      <c r="E45" s="5">
        <v>60</v>
      </c>
      <c r="F45" s="7">
        <v>5.3</v>
      </c>
      <c r="G45" s="26">
        <f t="shared" si="0"/>
        <v>523.74599999999998</v>
      </c>
    </row>
    <row r="46" spans="2:7">
      <c r="B46" s="6">
        <v>39</v>
      </c>
      <c r="C46" s="11">
        <v>8809614958057</v>
      </c>
      <c r="D46" s="1" t="s">
        <v>44</v>
      </c>
      <c r="E46" s="5">
        <v>40</v>
      </c>
      <c r="F46" s="7">
        <v>5.05</v>
      </c>
      <c r="G46" s="26">
        <f t="shared" si="0"/>
        <v>499.04099999999994</v>
      </c>
    </row>
    <row r="47" spans="2:7">
      <c r="B47" s="6">
        <v>40</v>
      </c>
      <c r="C47" s="9">
        <v>8809962540713</v>
      </c>
      <c r="D47" s="1" t="s">
        <v>45</v>
      </c>
      <c r="E47" s="5">
        <v>80</v>
      </c>
      <c r="F47" s="7">
        <v>1.1200000000000001</v>
      </c>
      <c r="G47" s="26">
        <f t="shared" si="0"/>
        <v>110.67840000000001</v>
      </c>
    </row>
    <row r="48" spans="2:7">
      <c r="B48" s="6">
        <v>41</v>
      </c>
      <c r="C48" s="9">
        <v>8809962540287</v>
      </c>
      <c r="D48" s="1" t="s">
        <v>46</v>
      </c>
      <c r="E48" s="5">
        <v>20</v>
      </c>
      <c r="F48" s="7">
        <v>4.45</v>
      </c>
      <c r="G48" s="26">
        <f t="shared" si="0"/>
        <v>439.74899999999991</v>
      </c>
    </row>
    <row r="49" spans="2:7">
      <c r="B49" s="20">
        <v>43</v>
      </c>
      <c r="C49" s="16">
        <v>8809962542397</v>
      </c>
      <c r="D49" s="17" t="s">
        <v>97</v>
      </c>
      <c r="E49" s="18">
        <v>30</v>
      </c>
      <c r="F49" s="21">
        <v>5.7</v>
      </c>
      <c r="G49" s="26">
        <f t="shared" si="0"/>
        <v>563.274</v>
      </c>
    </row>
    <row r="50" spans="2:7">
      <c r="B50" s="20">
        <v>44</v>
      </c>
      <c r="C50" s="16">
        <v>8809962542489</v>
      </c>
      <c r="D50" s="17" t="s">
        <v>98</v>
      </c>
      <c r="E50" s="18">
        <v>100</v>
      </c>
      <c r="F50" s="22">
        <v>5.3</v>
      </c>
      <c r="G50" s="26">
        <f t="shared" si="0"/>
        <v>523.74599999999998</v>
      </c>
    </row>
    <row r="51" spans="2:7">
      <c r="B51" s="20">
        <v>45</v>
      </c>
      <c r="C51" s="16">
        <v>8809962542496</v>
      </c>
      <c r="D51" s="17" t="s">
        <v>99</v>
      </c>
      <c r="E51" s="18">
        <v>50</v>
      </c>
      <c r="F51" s="22">
        <v>6.1</v>
      </c>
      <c r="G51" s="26">
        <f t="shared" si="0"/>
        <v>602.80199999999991</v>
      </c>
    </row>
    <row r="52" spans="2:7">
      <c r="B52" s="6">
        <v>42</v>
      </c>
      <c r="C52" s="9">
        <v>8809738605714</v>
      </c>
      <c r="D52" s="1" t="s">
        <v>47</v>
      </c>
      <c r="E52" s="5">
        <v>40</v>
      </c>
      <c r="F52" s="7">
        <v>5.71</v>
      </c>
      <c r="G52" s="26">
        <f t="shared" si="0"/>
        <v>564.26220000000001</v>
      </c>
    </row>
    <row r="53" spans="2:7">
      <c r="B53" s="6">
        <v>43</v>
      </c>
      <c r="C53" s="9">
        <v>8809738605721</v>
      </c>
      <c r="D53" s="1" t="s">
        <v>48</v>
      </c>
      <c r="E53" s="5">
        <v>80</v>
      </c>
      <c r="F53" s="7">
        <v>7.66</v>
      </c>
      <c r="G53" s="26">
        <f t="shared" si="0"/>
        <v>756.96119999999985</v>
      </c>
    </row>
    <row r="54" spans="2:7">
      <c r="B54" s="6">
        <v>44</v>
      </c>
      <c r="C54" s="9">
        <v>8809738593080</v>
      </c>
      <c r="D54" s="1" t="s">
        <v>49</v>
      </c>
      <c r="E54" s="5">
        <v>30</v>
      </c>
      <c r="F54" s="7">
        <v>3.92</v>
      </c>
      <c r="G54" s="26">
        <f t="shared" si="0"/>
        <v>387.37439999999998</v>
      </c>
    </row>
    <row r="55" spans="2:7">
      <c r="B55" s="6">
        <v>45</v>
      </c>
      <c r="C55" s="9">
        <v>8809738593103</v>
      </c>
      <c r="D55" s="1" t="s">
        <v>50</v>
      </c>
      <c r="E55" s="5">
        <v>70</v>
      </c>
      <c r="F55" s="7">
        <v>6.6</v>
      </c>
      <c r="G55" s="26">
        <f t="shared" si="0"/>
        <v>652.21199999999988</v>
      </c>
    </row>
    <row r="56" spans="2:7">
      <c r="B56" s="6">
        <v>46</v>
      </c>
      <c r="C56" s="10">
        <v>8809743544176</v>
      </c>
      <c r="D56" s="3" t="s">
        <v>51</v>
      </c>
      <c r="E56" s="5">
        <v>40</v>
      </c>
      <c r="F56" s="7">
        <v>3.26</v>
      </c>
      <c r="G56" s="26">
        <f t="shared" si="0"/>
        <v>322.15319999999997</v>
      </c>
    </row>
    <row r="57" spans="2:7">
      <c r="B57" s="6">
        <v>47</v>
      </c>
      <c r="C57" s="9">
        <v>8809624723140</v>
      </c>
      <c r="D57" s="1" t="s">
        <v>52</v>
      </c>
      <c r="E57" s="5">
        <v>40</v>
      </c>
      <c r="F57" s="7">
        <v>5.63</v>
      </c>
      <c r="G57" s="26">
        <f t="shared" si="0"/>
        <v>556.35659999999996</v>
      </c>
    </row>
    <row r="58" spans="2:7">
      <c r="B58" s="6">
        <v>48</v>
      </c>
      <c r="C58" s="9">
        <v>8809738593240</v>
      </c>
      <c r="D58" s="1" t="s">
        <v>53</v>
      </c>
      <c r="E58" s="5">
        <v>70</v>
      </c>
      <c r="F58" s="7">
        <v>6.6</v>
      </c>
      <c r="G58" s="26">
        <f t="shared" si="0"/>
        <v>652.21199999999988</v>
      </c>
    </row>
    <row r="59" spans="2:7">
      <c r="B59" s="6">
        <v>49</v>
      </c>
      <c r="C59" s="9">
        <v>8809624723133</v>
      </c>
      <c r="D59" s="1" t="s">
        <v>54</v>
      </c>
      <c r="E59" s="5">
        <v>40</v>
      </c>
      <c r="F59" s="7">
        <v>5.63</v>
      </c>
      <c r="G59" s="26">
        <f t="shared" si="0"/>
        <v>556.35659999999996</v>
      </c>
    </row>
    <row r="60" spans="2:7">
      <c r="B60" s="6">
        <v>50</v>
      </c>
      <c r="C60" s="9">
        <v>8809624726370</v>
      </c>
      <c r="D60" s="1" t="s">
        <v>55</v>
      </c>
      <c r="E60" s="5">
        <v>40</v>
      </c>
      <c r="F60" s="7">
        <v>5.71</v>
      </c>
      <c r="G60" s="26">
        <f t="shared" si="0"/>
        <v>564.26220000000001</v>
      </c>
    </row>
    <row r="61" spans="2:7">
      <c r="B61" s="6">
        <v>51</v>
      </c>
      <c r="C61" s="9">
        <v>8809624726417</v>
      </c>
      <c r="D61" s="1" t="s">
        <v>56</v>
      </c>
      <c r="E61" s="5">
        <v>80</v>
      </c>
      <c r="F61" s="7">
        <v>7.66</v>
      </c>
      <c r="G61" s="26">
        <f t="shared" si="0"/>
        <v>756.96119999999985</v>
      </c>
    </row>
    <row r="62" spans="2:7">
      <c r="B62" s="6">
        <v>52</v>
      </c>
      <c r="C62" s="9">
        <v>8809783322369</v>
      </c>
      <c r="D62" s="1" t="s">
        <v>57</v>
      </c>
      <c r="E62" s="5">
        <v>50</v>
      </c>
      <c r="F62" s="7">
        <v>3.92</v>
      </c>
      <c r="G62" s="26">
        <f t="shared" si="0"/>
        <v>387.37439999999998</v>
      </c>
    </row>
    <row r="63" spans="2:7">
      <c r="B63" s="6">
        <v>53</v>
      </c>
      <c r="C63" s="9">
        <v>8809783322130</v>
      </c>
      <c r="D63" s="1" t="s">
        <v>58</v>
      </c>
      <c r="E63" s="5">
        <v>70</v>
      </c>
      <c r="F63" s="7">
        <v>5.95</v>
      </c>
      <c r="G63" s="26">
        <f t="shared" si="0"/>
        <v>587.97899999999993</v>
      </c>
    </row>
    <row r="64" spans="2:7">
      <c r="B64" s="6">
        <v>54</v>
      </c>
      <c r="C64" s="9">
        <v>8809962541024</v>
      </c>
      <c r="D64" s="2" t="s">
        <v>59</v>
      </c>
      <c r="E64" s="5">
        <v>30</v>
      </c>
      <c r="F64" s="7">
        <v>5.71</v>
      </c>
      <c r="G64" s="26">
        <f t="shared" si="0"/>
        <v>564.26220000000001</v>
      </c>
    </row>
    <row r="65" spans="2:7">
      <c r="B65" s="6">
        <v>55</v>
      </c>
      <c r="C65" s="9">
        <v>8809875908075</v>
      </c>
      <c r="D65" s="1" t="s">
        <v>60</v>
      </c>
      <c r="E65" s="5">
        <v>60</v>
      </c>
      <c r="F65" s="7">
        <v>5.87</v>
      </c>
      <c r="G65" s="26">
        <f t="shared" si="0"/>
        <v>580.07339999999988</v>
      </c>
    </row>
    <row r="66" spans="2:7">
      <c r="B66" s="6">
        <v>56</v>
      </c>
      <c r="C66" s="9">
        <v>8809875907337</v>
      </c>
      <c r="D66" s="1" t="s">
        <v>61</v>
      </c>
      <c r="E66" s="5">
        <v>60</v>
      </c>
      <c r="F66" s="7">
        <v>6.68</v>
      </c>
      <c r="G66" s="26">
        <f t="shared" si="0"/>
        <v>660.11759999999992</v>
      </c>
    </row>
    <row r="67" spans="2:7">
      <c r="B67" s="6">
        <v>57</v>
      </c>
      <c r="C67" s="9">
        <v>8809849803634</v>
      </c>
      <c r="D67" s="1" t="s">
        <v>62</v>
      </c>
      <c r="E67" s="5">
        <v>40</v>
      </c>
      <c r="F67" s="7">
        <v>5.63</v>
      </c>
      <c r="G67" s="26">
        <f t="shared" si="0"/>
        <v>556.35659999999996</v>
      </c>
    </row>
    <row r="68" spans="2:7">
      <c r="B68" s="6">
        <v>58</v>
      </c>
      <c r="C68" s="9">
        <v>8809962541963</v>
      </c>
      <c r="D68" s="1" t="s">
        <v>63</v>
      </c>
      <c r="E68" s="5">
        <v>30</v>
      </c>
      <c r="F68" s="7">
        <v>3.92</v>
      </c>
      <c r="G68" s="26">
        <f t="shared" si="0"/>
        <v>387.37439999999998</v>
      </c>
    </row>
    <row r="69" spans="2:7">
      <c r="B69" s="6">
        <v>59</v>
      </c>
      <c r="C69" s="9">
        <v>8809962541970</v>
      </c>
      <c r="D69" s="1" t="s">
        <v>64</v>
      </c>
      <c r="E69" s="5">
        <v>40</v>
      </c>
      <c r="F69" s="7">
        <v>7.26</v>
      </c>
      <c r="G69" s="26">
        <v>610</v>
      </c>
    </row>
    <row r="70" spans="2:7">
      <c r="B70" s="6">
        <v>60</v>
      </c>
      <c r="C70" s="9">
        <v>8809783325674</v>
      </c>
      <c r="D70" s="1" t="s">
        <v>65</v>
      </c>
      <c r="E70" s="5">
        <v>60</v>
      </c>
      <c r="F70" s="7">
        <v>6.12</v>
      </c>
      <c r="G70" s="26">
        <f t="shared" si="0"/>
        <v>604.77839999999992</v>
      </c>
    </row>
    <row r="71" spans="2:7">
      <c r="B71" s="6">
        <v>61</v>
      </c>
      <c r="C71" s="9">
        <v>8809783325667</v>
      </c>
      <c r="D71" s="1" t="s">
        <v>66</v>
      </c>
      <c r="E71" s="5">
        <v>60</v>
      </c>
      <c r="F71" s="7">
        <v>5.63</v>
      </c>
      <c r="G71" s="26">
        <f t="shared" si="0"/>
        <v>556.35659999999996</v>
      </c>
    </row>
    <row r="72" spans="2:7">
      <c r="B72" s="6">
        <v>62</v>
      </c>
      <c r="C72" s="9">
        <v>8809750462708</v>
      </c>
      <c r="D72" s="1" t="s">
        <v>67</v>
      </c>
      <c r="E72" s="5">
        <v>30</v>
      </c>
      <c r="F72" s="7">
        <v>6.4399999999999995</v>
      </c>
      <c r="G72" s="26">
        <f t="shared" ref="G72:G104" si="1">F72*45*1.2*1.2*1.25*1.22</f>
        <v>636.40079999999978</v>
      </c>
    </row>
    <row r="73" spans="2:7">
      <c r="B73" s="6">
        <v>63</v>
      </c>
      <c r="C73" s="9">
        <v>8809783325728</v>
      </c>
      <c r="D73" s="1" t="s">
        <v>68</v>
      </c>
      <c r="E73" s="5">
        <v>40</v>
      </c>
      <c r="F73" s="7">
        <v>5.63</v>
      </c>
      <c r="G73" s="26">
        <f t="shared" si="1"/>
        <v>556.35659999999996</v>
      </c>
    </row>
    <row r="74" spans="2:7">
      <c r="B74" s="6">
        <v>64</v>
      </c>
      <c r="C74" s="9">
        <v>8809783326718</v>
      </c>
      <c r="D74" s="1" t="s">
        <v>69</v>
      </c>
      <c r="E74" s="5">
        <v>30</v>
      </c>
      <c r="F74" s="7">
        <v>5.71</v>
      </c>
      <c r="G74" s="26">
        <f t="shared" si="1"/>
        <v>564.26220000000001</v>
      </c>
    </row>
    <row r="75" spans="2:7">
      <c r="B75" s="6">
        <v>65</v>
      </c>
      <c r="C75" s="9">
        <v>8809783326725</v>
      </c>
      <c r="D75" s="2" t="s">
        <v>70</v>
      </c>
      <c r="E75" s="5">
        <v>30</v>
      </c>
      <c r="F75" s="7">
        <v>6.12</v>
      </c>
      <c r="G75" s="26">
        <f t="shared" si="1"/>
        <v>604.77839999999992</v>
      </c>
    </row>
    <row r="76" spans="2:7">
      <c r="B76" s="6">
        <v>66</v>
      </c>
      <c r="C76" s="9">
        <v>8809864754126</v>
      </c>
      <c r="D76" s="1" t="s">
        <v>71</v>
      </c>
      <c r="E76" s="5">
        <v>30</v>
      </c>
      <c r="F76" s="7">
        <v>3.92</v>
      </c>
      <c r="G76" s="26">
        <f t="shared" si="1"/>
        <v>387.37439999999998</v>
      </c>
    </row>
    <row r="77" spans="2:7">
      <c r="B77" s="6">
        <v>67</v>
      </c>
      <c r="C77" s="9">
        <v>8809849802408</v>
      </c>
      <c r="D77" s="1" t="s">
        <v>72</v>
      </c>
      <c r="E77" s="5">
        <v>40</v>
      </c>
      <c r="F77" s="7">
        <v>3.9299999999999997</v>
      </c>
      <c r="G77" s="26">
        <f t="shared" si="1"/>
        <v>388.36259999999999</v>
      </c>
    </row>
    <row r="78" spans="2:7">
      <c r="B78" s="6">
        <v>68</v>
      </c>
      <c r="C78" s="9">
        <v>8809962540294</v>
      </c>
      <c r="D78" s="1" t="s">
        <v>73</v>
      </c>
      <c r="E78" s="5">
        <v>20</v>
      </c>
      <c r="F78" s="7">
        <v>4.45</v>
      </c>
      <c r="G78" s="26">
        <f t="shared" si="1"/>
        <v>439.74899999999991</v>
      </c>
    </row>
    <row r="79" spans="2:7">
      <c r="B79" s="6">
        <v>69</v>
      </c>
      <c r="C79" s="9">
        <v>8809962542137</v>
      </c>
      <c r="D79" s="1" t="s">
        <v>74</v>
      </c>
      <c r="E79" s="5">
        <v>60</v>
      </c>
      <c r="F79" s="7">
        <v>6.4399999999999995</v>
      </c>
      <c r="G79" s="26">
        <f t="shared" si="1"/>
        <v>636.40079999999978</v>
      </c>
    </row>
    <row r="80" spans="2:7">
      <c r="B80" s="15">
        <v>74</v>
      </c>
      <c r="C80" s="16">
        <v>8809962542403</v>
      </c>
      <c r="D80" s="17" t="s">
        <v>100</v>
      </c>
      <c r="E80" s="18">
        <v>50</v>
      </c>
      <c r="F80" s="19">
        <v>5.7</v>
      </c>
      <c r="G80" s="26">
        <f t="shared" si="1"/>
        <v>563.274</v>
      </c>
    </row>
    <row r="81" spans="2:7">
      <c r="B81" s="6">
        <v>70</v>
      </c>
      <c r="C81" s="9">
        <v>8809962540652</v>
      </c>
      <c r="D81" s="4" t="s">
        <v>75</v>
      </c>
      <c r="E81" s="5">
        <v>60</v>
      </c>
      <c r="F81" s="7">
        <v>5.2</v>
      </c>
      <c r="G81" s="26">
        <f t="shared" si="1"/>
        <v>513.86399999999992</v>
      </c>
    </row>
    <row r="82" spans="2:7">
      <c r="B82" s="6">
        <v>71</v>
      </c>
      <c r="C82" s="9">
        <v>8809962540690</v>
      </c>
      <c r="D82" s="1" t="s">
        <v>76</v>
      </c>
      <c r="E82" s="5">
        <v>60</v>
      </c>
      <c r="F82" s="7">
        <v>5.56</v>
      </c>
      <c r="G82" s="26">
        <f t="shared" si="1"/>
        <v>549.43919999999991</v>
      </c>
    </row>
    <row r="83" spans="2:7">
      <c r="B83" s="6">
        <v>72</v>
      </c>
      <c r="C83" s="9">
        <v>8809962540775</v>
      </c>
      <c r="D83" s="4" t="s">
        <v>77</v>
      </c>
      <c r="E83" s="5">
        <v>40</v>
      </c>
      <c r="F83" s="7">
        <v>5.63</v>
      </c>
      <c r="G83" s="26">
        <f t="shared" si="1"/>
        <v>556.35659999999996</v>
      </c>
    </row>
    <row r="84" spans="2:7">
      <c r="B84" s="6">
        <v>73</v>
      </c>
      <c r="C84" s="9">
        <v>8809962540584</v>
      </c>
      <c r="D84" s="1" t="s">
        <v>78</v>
      </c>
      <c r="E84" s="5">
        <v>30</v>
      </c>
      <c r="F84" s="7">
        <v>4.6399999999999997</v>
      </c>
      <c r="G84" s="26">
        <f t="shared" si="1"/>
        <v>458.52479999999997</v>
      </c>
    </row>
    <row r="85" spans="2:7">
      <c r="B85" s="6">
        <v>74</v>
      </c>
      <c r="C85" s="9">
        <v>8809962540591</v>
      </c>
      <c r="D85" s="1" t="s">
        <v>79</v>
      </c>
      <c r="E85" s="5">
        <v>30</v>
      </c>
      <c r="F85" s="7">
        <v>5.97</v>
      </c>
      <c r="G85" s="26">
        <f t="shared" si="1"/>
        <v>589.95539999999994</v>
      </c>
    </row>
    <row r="86" spans="2:7">
      <c r="B86" s="6">
        <v>75</v>
      </c>
      <c r="C86" s="9">
        <v>8809962540539</v>
      </c>
      <c r="D86" s="1" t="s">
        <v>80</v>
      </c>
      <c r="E86" s="5">
        <v>12</v>
      </c>
      <c r="F86" s="7">
        <v>0.74</v>
      </c>
      <c r="G86" s="26">
        <f t="shared" si="1"/>
        <v>73.126799999999989</v>
      </c>
    </row>
    <row r="87" spans="2:7">
      <c r="B87" s="6">
        <v>76</v>
      </c>
      <c r="C87" s="9">
        <v>8809962540546</v>
      </c>
      <c r="D87" s="1" t="s">
        <v>81</v>
      </c>
      <c r="E87" s="5">
        <v>10</v>
      </c>
      <c r="F87" s="7">
        <v>1.6300000000000001</v>
      </c>
      <c r="G87" s="26">
        <f t="shared" si="1"/>
        <v>161.07659999999998</v>
      </c>
    </row>
    <row r="88" spans="2:7">
      <c r="B88" s="6">
        <v>77</v>
      </c>
      <c r="C88" s="9">
        <v>8809962540805</v>
      </c>
      <c r="D88" s="1" t="s">
        <v>82</v>
      </c>
      <c r="E88" s="5">
        <v>40</v>
      </c>
      <c r="F88" s="7">
        <v>5.71</v>
      </c>
      <c r="G88" s="26">
        <f t="shared" si="1"/>
        <v>564.26220000000001</v>
      </c>
    </row>
    <row r="89" spans="2:7">
      <c r="B89" s="6">
        <v>78</v>
      </c>
      <c r="C89" s="9">
        <v>8809962540812</v>
      </c>
      <c r="D89" s="1" t="s">
        <v>83</v>
      </c>
      <c r="E89" s="5">
        <v>40</v>
      </c>
      <c r="F89" s="7">
        <v>3.0199999999999996</v>
      </c>
      <c r="G89" s="26">
        <f t="shared" si="1"/>
        <v>298.43639999999988</v>
      </c>
    </row>
    <row r="90" spans="2:7">
      <c r="B90" s="15">
        <v>84</v>
      </c>
      <c r="C90" s="16">
        <v>8809962541048</v>
      </c>
      <c r="D90" s="17" t="s">
        <v>101</v>
      </c>
      <c r="E90" s="18">
        <v>50</v>
      </c>
      <c r="F90" s="19">
        <v>4.8099999999999996</v>
      </c>
      <c r="G90" s="26">
        <f t="shared" si="1"/>
        <v>475.32419999999985</v>
      </c>
    </row>
    <row r="91" spans="2:7">
      <c r="B91" s="15">
        <v>85</v>
      </c>
      <c r="C91" s="16">
        <v>8809962541031</v>
      </c>
      <c r="D91" s="17" t="s">
        <v>102</v>
      </c>
      <c r="E91" s="18">
        <v>100</v>
      </c>
      <c r="F91" s="19">
        <v>5.05</v>
      </c>
      <c r="G91" s="26">
        <f t="shared" si="1"/>
        <v>499.04099999999994</v>
      </c>
    </row>
    <row r="92" spans="2:7">
      <c r="B92" s="15">
        <v>86</v>
      </c>
      <c r="C92" s="16">
        <v>8809962541284</v>
      </c>
      <c r="D92" s="17" t="s">
        <v>103</v>
      </c>
      <c r="E92" s="18">
        <v>40</v>
      </c>
      <c r="F92" s="19">
        <v>6.44</v>
      </c>
      <c r="G92" s="26">
        <f t="shared" si="1"/>
        <v>636.4008</v>
      </c>
    </row>
    <row r="93" spans="2:7">
      <c r="B93" s="6">
        <v>79</v>
      </c>
      <c r="C93" s="9">
        <v>8809962541383</v>
      </c>
      <c r="D93" s="1" t="s">
        <v>84</v>
      </c>
      <c r="E93" s="5">
        <v>30</v>
      </c>
      <c r="F93" s="7">
        <v>5.0599999999999996</v>
      </c>
      <c r="G93" s="26">
        <f t="shared" si="1"/>
        <v>500.02919999999989</v>
      </c>
    </row>
    <row r="94" spans="2:7">
      <c r="B94" s="6">
        <v>80</v>
      </c>
      <c r="C94" s="9">
        <v>8809962541857</v>
      </c>
      <c r="D94" s="1" t="s">
        <v>85</v>
      </c>
      <c r="E94" s="5">
        <v>60</v>
      </c>
      <c r="F94" s="7">
        <v>6.3599999999999994</v>
      </c>
      <c r="G94" s="26">
        <f t="shared" si="1"/>
        <v>628.49519999999995</v>
      </c>
    </row>
    <row r="95" spans="2:7">
      <c r="B95" s="6">
        <v>81</v>
      </c>
      <c r="C95" s="11">
        <v>8809962541840</v>
      </c>
      <c r="D95" s="1" t="s">
        <v>86</v>
      </c>
      <c r="E95" s="5">
        <v>80</v>
      </c>
      <c r="F95" s="7">
        <v>6.93</v>
      </c>
      <c r="G95" s="26">
        <f t="shared" si="1"/>
        <v>684.82259999999985</v>
      </c>
    </row>
    <row r="96" spans="2:7">
      <c r="B96" s="6">
        <v>82</v>
      </c>
      <c r="C96" s="9">
        <v>8809962542212</v>
      </c>
      <c r="D96" s="1" t="s">
        <v>87</v>
      </c>
      <c r="E96" s="5">
        <v>50</v>
      </c>
      <c r="F96" s="7">
        <v>6.12</v>
      </c>
      <c r="G96" s="26">
        <f t="shared" si="1"/>
        <v>604.77839999999992</v>
      </c>
    </row>
    <row r="97" spans="2:7">
      <c r="B97" s="15">
        <v>91</v>
      </c>
      <c r="C97" s="16">
        <v>8809962542861</v>
      </c>
      <c r="D97" s="17" t="s">
        <v>104</v>
      </c>
      <c r="E97" s="18">
        <v>50</v>
      </c>
      <c r="F97" s="19">
        <v>4.8099999999999996</v>
      </c>
      <c r="G97" s="26">
        <f t="shared" si="1"/>
        <v>475.32419999999985</v>
      </c>
    </row>
    <row r="98" spans="2:7">
      <c r="B98" s="6">
        <v>83</v>
      </c>
      <c r="C98" s="9">
        <v>8809962541222</v>
      </c>
      <c r="D98" s="1" t="s">
        <v>88</v>
      </c>
      <c r="E98" s="5">
        <v>50</v>
      </c>
      <c r="F98" s="7">
        <v>4.8899999999999997</v>
      </c>
      <c r="G98" s="26">
        <f t="shared" si="1"/>
        <v>483.22979999999984</v>
      </c>
    </row>
    <row r="99" spans="2:7">
      <c r="B99" s="6">
        <v>84</v>
      </c>
      <c r="C99" s="9">
        <v>8809962541239</v>
      </c>
      <c r="D99" s="1" t="s">
        <v>89</v>
      </c>
      <c r="E99" s="5">
        <v>50</v>
      </c>
      <c r="F99" s="7">
        <v>4.8899999999999997</v>
      </c>
      <c r="G99" s="26">
        <f t="shared" si="1"/>
        <v>483.22979999999984</v>
      </c>
    </row>
    <row r="100" spans="2:7">
      <c r="B100" s="6">
        <v>85</v>
      </c>
      <c r="C100" s="11">
        <v>8809962541246</v>
      </c>
      <c r="D100" s="1" t="s">
        <v>90</v>
      </c>
      <c r="E100" s="5">
        <v>50</v>
      </c>
      <c r="F100" s="7">
        <v>5.0599999999999996</v>
      </c>
      <c r="G100" s="26">
        <f t="shared" si="1"/>
        <v>500.02919999999989</v>
      </c>
    </row>
    <row r="101" spans="2:7">
      <c r="B101" s="6">
        <v>86</v>
      </c>
      <c r="C101" s="9">
        <v>8809962541635</v>
      </c>
      <c r="D101" s="1" t="s">
        <v>91</v>
      </c>
      <c r="E101" s="5">
        <v>50</v>
      </c>
      <c r="F101" s="7">
        <v>4.8899999999999997</v>
      </c>
      <c r="G101" s="26">
        <f t="shared" si="1"/>
        <v>483.22979999999984</v>
      </c>
    </row>
    <row r="102" spans="2:7">
      <c r="B102" s="6">
        <v>87</v>
      </c>
      <c r="C102" s="9">
        <v>8809962541628</v>
      </c>
      <c r="D102" s="1" t="s">
        <v>92</v>
      </c>
      <c r="E102" s="5">
        <v>50</v>
      </c>
      <c r="F102" s="7">
        <v>4.8899999999999997</v>
      </c>
      <c r="G102" s="26">
        <f t="shared" si="1"/>
        <v>483.22979999999984</v>
      </c>
    </row>
    <row r="103" spans="2:7">
      <c r="B103" s="6">
        <v>88</v>
      </c>
      <c r="C103" s="9">
        <v>8809962541642</v>
      </c>
      <c r="D103" s="1" t="s">
        <v>93</v>
      </c>
      <c r="E103" s="5">
        <v>50</v>
      </c>
      <c r="F103" s="7">
        <v>5.0599999999999996</v>
      </c>
      <c r="G103" s="26">
        <f t="shared" si="1"/>
        <v>500.02919999999989</v>
      </c>
    </row>
    <row r="104" spans="2:7" ht="16" thickBot="1">
      <c r="B104" s="6">
        <v>89</v>
      </c>
      <c r="C104" s="9">
        <v>8809962540553</v>
      </c>
      <c r="D104" s="1" t="s">
        <v>94</v>
      </c>
      <c r="E104" s="5">
        <v>100</v>
      </c>
      <c r="F104" s="14">
        <v>3.26</v>
      </c>
      <c r="G104" s="26">
        <f t="shared" si="1"/>
        <v>322.15319999999997</v>
      </c>
    </row>
    <row r="105" spans="2:7" ht="20" thickBot="1">
      <c r="F105" s="8" t="s">
        <v>95</v>
      </c>
      <c r="G105" s="27"/>
    </row>
  </sheetData>
  <sheetProtection autoFilter="0"/>
  <autoFilter ref="B6:G6" xr:uid="{9DD60AC6-40ED-4826-9F70-2EAA75B8958B}"/>
  <mergeCells count="2">
    <mergeCell ref="B2:G2"/>
    <mergeCell ref="B4:G4"/>
  </mergeCells>
  <phoneticPr fontId="1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6bad5e3-fd86-4f03-809d-6dca46828a4d" xsi:nil="true"/>
    <lcf76f155ced4ddcb4097134ff3c332f xmlns="600619f2-ace1-4bce-9eb2-1a8c96b50095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E9DE2B7DCE52AC4C91850E9171BB2EAD" ma:contentTypeVersion="16" ma:contentTypeDescription="새 문서를 만듭니다." ma:contentTypeScope="" ma:versionID="750ea15a34bb9914789f4875ead12b5e">
  <xsd:schema xmlns:xsd="http://www.w3.org/2001/XMLSchema" xmlns:xs="http://www.w3.org/2001/XMLSchema" xmlns:p="http://schemas.microsoft.com/office/2006/metadata/properties" xmlns:ns2="600619f2-ace1-4bce-9eb2-1a8c96b50095" xmlns:ns3="76bad5e3-fd86-4f03-809d-6dca46828a4d" targetNamespace="http://schemas.microsoft.com/office/2006/metadata/properties" ma:root="true" ma:fieldsID="72c8cb9ebdc1e65b973d8cdc48bdc755" ns2:_="" ns3:_="">
    <xsd:import namespace="600619f2-ace1-4bce-9eb2-1a8c96b50095"/>
    <xsd:import namespace="76bad5e3-fd86-4f03-809d-6dca46828a4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0619f2-ace1-4bce-9eb2-1a8c96b5009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이미지 태그" ma:readOnly="false" ma:fieldId="{5cf76f15-5ced-4ddc-b409-7134ff3c332f}" ma:taxonomyMulti="true" ma:sspId="8b896c14-920f-47a7-af9d-ebc5be645ad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bad5e3-fd86-4f03-809d-6dca46828a4d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c1fb07b0-e82a-49cc-91a9-bb37c786be75}" ma:internalName="TaxCatchAll" ma:showField="CatchAllData" ma:web="76bad5e3-fd86-4f03-809d-6dca46828a4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587A0F5-43B0-45F4-930E-9326C4F1617B}">
  <ds:schemaRefs>
    <ds:schemaRef ds:uri="http://schemas.microsoft.com/office/2006/metadata/properties"/>
    <ds:schemaRef ds:uri="http://schemas.microsoft.com/office/infopath/2007/PartnerControls"/>
    <ds:schemaRef ds:uri="76bad5e3-fd86-4f03-809d-6dca46828a4d"/>
    <ds:schemaRef ds:uri="600619f2-ace1-4bce-9eb2-1a8c96b50095"/>
  </ds:schemaRefs>
</ds:datastoreItem>
</file>

<file path=customXml/itemProps2.xml><?xml version="1.0" encoding="utf-8"?>
<ds:datastoreItem xmlns:ds="http://schemas.openxmlformats.org/officeDocument/2006/customXml" ds:itemID="{F367F166-69CA-40F5-80C5-47BAECA6AB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80A3ED9-267E-45BC-B9F6-66CB72B4FED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00619f2-ace1-4bce-9eb2-1a8c96b50095"/>
    <ds:schemaRef ds:uri="76bad5e3-fd86-4f03-809d-6dca46828a4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Round Lab_PO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Lynn JUNG</dc:creator>
  <cp:lastModifiedBy>Ahmet DENİZ</cp:lastModifiedBy>
  <dcterms:created xsi:type="dcterms:W3CDTF">2025-04-01T07:24:46Z</dcterms:created>
  <dcterms:modified xsi:type="dcterms:W3CDTF">2025-10-27T07:24:41Z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0x010100E9DE2B7DCE52AC4C91850E9171BB2EAD</vt:lpwstr>
  </property>
</Properties>
</file>